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Dev\Desktop\"/>
    </mc:Choice>
  </mc:AlternateContent>
  <xr:revisionPtr revIDLastSave="0" documentId="8_{F8C410AB-DA10-4B2E-A9BA-CEC4B9E991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Clientes" sheetId="2" r:id="rId2"/>
    <sheet name="Créditos" sheetId="3" r:id="rId3"/>
    <sheet name="Pag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/>
  <c r="C8" i="1" s="1"/>
  <c r="C6" i="1"/>
  <c r="C5" i="1"/>
</calcChain>
</file>

<file path=xl/sharedStrings.xml><?xml version="1.0" encoding="utf-8"?>
<sst xmlns="http://schemas.openxmlformats.org/spreadsheetml/2006/main" count="58" uniqueCount="50">
  <si>
    <t>PANEL DE CONTROL - RIESGO CREDITICIO Y MOROSIDAD</t>
  </si>
  <si>
    <t>Métrica Clave</t>
  </si>
  <si>
    <t>Valor</t>
  </si>
  <si>
    <t>Exposición Total Cartera</t>
  </si>
  <si>
    <t>Créditos Totales</t>
  </si>
  <si>
    <t>Créditos en Riesgo (Mora/Castigado)</t>
  </si>
  <si>
    <t>Tasa de Morosidad Cartera</t>
  </si>
  <si>
    <t>Cliente ID</t>
  </si>
  <si>
    <t>Nombre</t>
  </si>
  <si>
    <t>Antigüedad (Meses)</t>
  </si>
  <si>
    <t>Segmento</t>
  </si>
  <si>
    <t>Ingresos Declarados</t>
  </si>
  <si>
    <t>Juan Pérez</t>
  </si>
  <si>
    <t>Minorista</t>
  </si>
  <si>
    <t>María Gómez</t>
  </si>
  <si>
    <t>PyME</t>
  </si>
  <si>
    <t>Carlos Ruiz</t>
  </si>
  <si>
    <t>Ana Torres</t>
  </si>
  <si>
    <t>Preferencial</t>
  </si>
  <si>
    <t>Luis Fernández</t>
  </si>
  <si>
    <t>Sofía Ramírez</t>
  </si>
  <si>
    <t>Crédito ID</t>
  </si>
  <si>
    <t>Monto Otorgado</t>
  </si>
  <si>
    <t>Tasa Interés</t>
  </si>
  <si>
    <t>Plazo (Meses)</t>
  </si>
  <si>
    <t>Estado Actual</t>
  </si>
  <si>
    <t>Al día</t>
  </si>
  <si>
    <t>En mora</t>
  </si>
  <si>
    <t>Castigado</t>
  </si>
  <si>
    <t>Pago ID</t>
  </si>
  <si>
    <t>Nro Cuota</t>
  </si>
  <si>
    <t>Fecha Vencimiento</t>
  </si>
  <si>
    <t>Fecha Pago</t>
  </si>
  <si>
    <t>Monto Cuota</t>
  </si>
  <si>
    <t>Días Atraso</t>
  </si>
  <si>
    <t>2026-01-10</t>
  </si>
  <si>
    <t>2026-01-08</t>
  </si>
  <si>
    <t>2026-02-10</t>
  </si>
  <si>
    <t>2026-02-11</t>
  </si>
  <si>
    <t>2025-11-15</t>
  </si>
  <si>
    <t>2025-11-20</t>
  </si>
  <si>
    <t>2025-12-15</t>
  </si>
  <si>
    <t>2025-12-28</t>
  </si>
  <si>
    <t>2026-02-01</t>
  </si>
  <si>
    <t>2026-01-30</t>
  </si>
  <si>
    <t>2025-12-20</t>
  </si>
  <si>
    <t>2025-12-19</t>
  </si>
  <si>
    <t>2025-10-10</t>
  </si>
  <si>
    <t>2025-11-05</t>
  </si>
  <si>
    <t>2025-05-10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</si>
</sst>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164" fontId="3" fillId="0" borderId="0" xfId="0" applyNumberFormat="1" applyFont="1"/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8"/>
  <sheetViews>
    <sheetView showGridLines="0" tabSelected="1" workbookViewId="0">
      <selection activeCell="B14" sqref="B14"/>
    </sheetView>
  </sheetViews>
  <sheetFormatPr baseColWidth="10" defaultColWidth="9.140625" defaultRowHeight="15" x14ac:dyDescent="0.25"/>
  <cols>
    <col min="2" max="2" width="80.85546875" bestFit="1" customWidth="1"/>
    <col min="3" max="3" width="10.140625" bestFit="1" customWidth="1"/>
  </cols>
  <sheetData>
    <row r="2" spans="2:3" ht="18" x14ac:dyDescent="0.25">
      <c r="B2" s="1" t="s">
        <v>0</v>
      </c>
    </row>
    <row r="4" spans="2:3" x14ac:dyDescent="0.25">
      <c r="B4" s="2" t="s">
        <v>1</v>
      </c>
      <c r="C4" s="2" t="s">
        <v>2</v>
      </c>
    </row>
    <row r="5" spans="2:3" x14ac:dyDescent="0.25">
      <c r="B5" s="3" t="s">
        <v>3</v>
      </c>
      <c r="C5" s="4">
        <f>SUM(Créditos!C2:C7)</f>
        <v>77000</v>
      </c>
    </row>
    <row r="6" spans="2:3" x14ac:dyDescent="0.25">
      <c r="B6" s="3" t="s">
        <v>4</v>
      </c>
      <c r="C6" s="3">
        <f>COUNTA(Créditos!A2:A7)</f>
        <v>6</v>
      </c>
    </row>
    <row r="7" spans="2:3" x14ac:dyDescent="0.25">
      <c r="B7" s="3" t="s">
        <v>5</v>
      </c>
      <c r="C7" s="3">
        <f>COUNTIF(Créditos!F2:F7, "En mora") + COUNTIF(Créditos!F2:F7, "Castigado")</f>
        <v>3</v>
      </c>
    </row>
    <row r="8" spans="2:3" x14ac:dyDescent="0.25">
      <c r="B8" s="3" t="s">
        <v>6</v>
      </c>
      <c r="C8" s="5">
        <f>C7/C6</f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showGridLines="0" workbookViewId="0"/>
  </sheetViews>
  <sheetFormatPr baseColWidth="10" defaultColWidth="9.140625" defaultRowHeight="15" x14ac:dyDescent="0.25"/>
  <sheetData>
    <row r="1" spans="1:5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</row>
    <row r="2" spans="1:5" x14ac:dyDescent="0.25">
      <c r="A2" s="3">
        <v>1</v>
      </c>
      <c r="B2" s="3" t="s">
        <v>12</v>
      </c>
      <c r="C2" s="3">
        <v>24</v>
      </c>
      <c r="D2" s="3" t="s">
        <v>13</v>
      </c>
      <c r="E2" s="4">
        <v>1200.5</v>
      </c>
    </row>
    <row r="3" spans="1:5" x14ac:dyDescent="0.25">
      <c r="A3" s="3">
        <v>2</v>
      </c>
      <c r="B3" s="3" t="s">
        <v>14</v>
      </c>
      <c r="C3" s="3">
        <v>36</v>
      </c>
      <c r="D3" s="3" t="s">
        <v>15</v>
      </c>
      <c r="E3" s="4">
        <v>3500</v>
      </c>
    </row>
    <row r="4" spans="1:5" x14ac:dyDescent="0.25">
      <c r="A4" s="3">
        <v>3</v>
      </c>
      <c r="B4" s="3" t="s">
        <v>16</v>
      </c>
      <c r="C4" s="3">
        <v>12</v>
      </c>
      <c r="D4" s="3" t="s">
        <v>13</v>
      </c>
      <c r="E4" s="4">
        <v>950</v>
      </c>
    </row>
    <row r="5" spans="1:5" x14ac:dyDescent="0.25">
      <c r="A5" s="3">
        <v>4</v>
      </c>
      <c r="B5" s="3" t="s">
        <v>17</v>
      </c>
      <c r="C5" s="3">
        <v>48</v>
      </c>
      <c r="D5" s="3" t="s">
        <v>18</v>
      </c>
      <c r="E5" s="4">
        <v>6200</v>
      </c>
    </row>
    <row r="6" spans="1:5" x14ac:dyDescent="0.25">
      <c r="A6" s="3">
        <v>5</v>
      </c>
      <c r="B6" s="3" t="s">
        <v>19</v>
      </c>
      <c r="C6" s="3">
        <v>6</v>
      </c>
      <c r="D6" s="3" t="s">
        <v>13</v>
      </c>
      <c r="E6" s="4">
        <v>1100</v>
      </c>
    </row>
    <row r="7" spans="1:5" x14ac:dyDescent="0.25">
      <c r="A7" s="3">
        <v>6</v>
      </c>
      <c r="B7" s="3" t="s">
        <v>20</v>
      </c>
      <c r="C7" s="3">
        <v>60</v>
      </c>
      <c r="D7" s="3" t="s">
        <v>15</v>
      </c>
      <c r="E7" s="4">
        <v>4800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showGridLines="0" workbookViewId="0"/>
  </sheetViews>
  <sheetFormatPr baseColWidth="10" defaultColWidth="9.140625" defaultRowHeight="15" x14ac:dyDescent="0.25"/>
  <sheetData>
    <row r="1" spans="1:6" x14ac:dyDescent="0.25">
      <c r="A1" s="2" t="s">
        <v>21</v>
      </c>
      <c r="B1" s="2" t="s">
        <v>7</v>
      </c>
      <c r="C1" s="2" t="s">
        <v>22</v>
      </c>
      <c r="D1" s="2" t="s">
        <v>23</v>
      </c>
      <c r="E1" s="2" t="s">
        <v>24</v>
      </c>
      <c r="F1" s="2" t="s">
        <v>25</v>
      </c>
    </row>
    <row r="2" spans="1:6" x14ac:dyDescent="0.25">
      <c r="A2" s="3">
        <v>101</v>
      </c>
      <c r="B2" s="3">
        <v>1</v>
      </c>
      <c r="C2" s="4">
        <v>5000</v>
      </c>
      <c r="D2" s="5">
        <v>0.24</v>
      </c>
      <c r="E2" s="3">
        <v>12</v>
      </c>
      <c r="F2" s="3" t="s">
        <v>26</v>
      </c>
    </row>
    <row r="3" spans="1:6" x14ac:dyDescent="0.25">
      <c r="A3" s="3">
        <v>102</v>
      </c>
      <c r="B3" s="3">
        <v>2</v>
      </c>
      <c r="C3" s="4">
        <v>15000</v>
      </c>
      <c r="D3" s="5">
        <v>0.18</v>
      </c>
      <c r="E3" s="3">
        <v>24</v>
      </c>
      <c r="F3" s="3" t="s">
        <v>27</v>
      </c>
    </row>
    <row r="4" spans="1:6" x14ac:dyDescent="0.25">
      <c r="A4" s="3">
        <v>103</v>
      </c>
      <c r="B4" s="3">
        <v>3</v>
      </c>
      <c r="C4" s="4">
        <v>3000</v>
      </c>
      <c r="D4" s="5">
        <v>0.28000000000000003</v>
      </c>
      <c r="E4" s="3">
        <v>6</v>
      </c>
      <c r="F4" s="3" t="s">
        <v>26</v>
      </c>
    </row>
    <row r="5" spans="1:6" x14ac:dyDescent="0.25">
      <c r="A5" s="3">
        <v>104</v>
      </c>
      <c r="B5" s="3">
        <v>4</v>
      </c>
      <c r="C5" s="4">
        <v>30000</v>
      </c>
      <c r="D5" s="5">
        <v>0.15</v>
      </c>
      <c r="E5" s="3">
        <v>36</v>
      </c>
      <c r="F5" s="3" t="s">
        <v>26</v>
      </c>
    </row>
    <row r="6" spans="1:6" x14ac:dyDescent="0.25">
      <c r="A6" s="3">
        <v>105</v>
      </c>
      <c r="B6" s="3">
        <v>5</v>
      </c>
      <c r="C6" s="4">
        <v>4000</v>
      </c>
      <c r="D6" s="5">
        <v>0.25</v>
      </c>
      <c r="E6" s="3">
        <v>12</v>
      </c>
      <c r="F6" s="3" t="s">
        <v>27</v>
      </c>
    </row>
    <row r="7" spans="1:6" x14ac:dyDescent="0.25">
      <c r="A7" s="3">
        <v>106</v>
      </c>
      <c r="B7" s="3">
        <v>6</v>
      </c>
      <c r="C7" s="4">
        <v>20000</v>
      </c>
      <c r="D7" s="5">
        <v>0.19</v>
      </c>
      <c r="E7" s="3">
        <v>24</v>
      </c>
      <c r="F7" s="3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showGridLines="0" workbookViewId="0"/>
  </sheetViews>
  <sheetFormatPr baseColWidth="10" defaultColWidth="9.140625" defaultRowHeight="15" x14ac:dyDescent="0.25"/>
  <sheetData>
    <row r="1" spans="1:7" x14ac:dyDescent="0.25">
      <c r="A1" s="2" t="s">
        <v>29</v>
      </c>
      <c r="B1" s="2" t="s">
        <v>21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25">
      <c r="A2" s="3">
        <v>1001</v>
      </c>
      <c r="B2" s="3">
        <v>101</v>
      </c>
      <c r="C2" s="3">
        <v>1</v>
      </c>
      <c r="D2" s="3" t="s">
        <v>35</v>
      </c>
      <c r="E2" s="3" t="s">
        <v>36</v>
      </c>
      <c r="F2" s="4">
        <v>450</v>
      </c>
      <c r="G2" s="3">
        <v>0</v>
      </c>
    </row>
    <row r="3" spans="1:7" x14ac:dyDescent="0.25">
      <c r="A3" s="3">
        <v>1002</v>
      </c>
      <c r="B3" s="3">
        <v>101</v>
      </c>
      <c r="C3" s="3">
        <v>2</v>
      </c>
      <c r="D3" s="3" t="s">
        <v>37</v>
      </c>
      <c r="E3" s="3" t="s">
        <v>38</v>
      </c>
      <c r="F3" s="4">
        <v>450</v>
      </c>
      <c r="G3" s="3">
        <v>1</v>
      </c>
    </row>
    <row r="4" spans="1:7" x14ac:dyDescent="0.25">
      <c r="A4" s="3">
        <v>1003</v>
      </c>
      <c r="B4" s="3">
        <v>102</v>
      </c>
      <c r="C4" s="3">
        <v>1</v>
      </c>
      <c r="D4" s="3" t="s">
        <v>39</v>
      </c>
      <c r="E4" s="3" t="s">
        <v>40</v>
      </c>
      <c r="F4" s="4">
        <v>750</v>
      </c>
      <c r="G4" s="3">
        <v>5</v>
      </c>
    </row>
    <row r="5" spans="1:7" x14ac:dyDescent="0.25">
      <c r="A5" s="3">
        <v>1004</v>
      </c>
      <c r="B5" s="3">
        <v>102</v>
      </c>
      <c r="C5" s="3">
        <v>2</v>
      </c>
      <c r="D5" s="3" t="s">
        <v>41</v>
      </c>
      <c r="E5" s="3" t="s">
        <v>42</v>
      </c>
      <c r="F5" s="4">
        <v>750</v>
      </c>
      <c r="G5" s="3">
        <v>13</v>
      </c>
    </row>
    <row r="6" spans="1:7" x14ac:dyDescent="0.25">
      <c r="A6" s="3">
        <v>1005</v>
      </c>
      <c r="B6" s="3">
        <v>103</v>
      </c>
      <c r="C6" s="3">
        <v>1</v>
      </c>
      <c r="D6" s="3" t="s">
        <v>43</v>
      </c>
      <c r="E6" s="3" t="s">
        <v>44</v>
      </c>
      <c r="F6" s="4">
        <v>520</v>
      </c>
      <c r="G6" s="3">
        <v>0</v>
      </c>
    </row>
    <row r="7" spans="1:7" x14ac:dyDescent="0.25">
      <c r="A7" s="3">
        <v>1006</v>
      </c>
      <c r="B7" s="3">
        <v>104</v>
      </c>
      <c r="C7" s="3">
        <v>1</v>
      </c>
      <c r="D7" s="3" t="s">
        <v>45</v>
      </c>
      <c r="E7" s="3" t="s">
        <v>46</v>
      </c>
      <c r="F7" s="4">
        <v>1000</v>
      </c>
      <c r="G7" s="3">
        <v>0</v>
      </c>
    </row>
    <row r="8" spans="1:7" x14ac:dyDescent="0.25">
      <c r="A8" s="3">
        <v>1007</v>
      </c>
      <c r="B8" s="3">
        <v>105</v>
      </c>
      <c r="C8" s="3">
        <v>1</v>
      </c>
      <c r="D8" s="3" t="s">
        <v>47</v>
      </c>
      <c r="E8" s="3" t="s">
        <v>48</v>
      </c>
      <c r="F8" s="4">
        <v>380</v>
      </c>
      <c r="G8" s="3">
        <v>26</v>
      </c>
    </row>
    <row r="9" spans="1:7" x14ac:dyDescent="0.25">
      <c r="A9" s="3">
        <v>1008</v>
      </c>
      <c r="B9" s="3">
        <v>106</v>
      </c>
      <c r="C9" s="3">
        <v>1</v>
      </c>
      <c r="D9" s="3" t="s">
        <v>49</v>
      </c>
      <c r="E9" s="3"/>
      <c r="F9" s="4">
        <v>950</v>
      </c>
      <c r="G9" s="3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</vt:lpstr>
      <vt:lpstr>Clientes</vt:lpstr>
      <vt:lpstr>Créditos</vt:lpstr>
      <vt:lpstr>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MaxiDev</dc:creator>
  <cp:lastModifiedBy>maximiliano daniel</cp:lastModifiedBy>
  <dcterms:created xsi:type="dcterms:W3CDTF">2026-08-27T22:40:53Z</dcterms:created>
  <dcterms:modified xsi:type="dcterms:W3CDTF">2026-08-27T22:42:05Z</dcterms:modified>
</cp:coreProperties>
</file>