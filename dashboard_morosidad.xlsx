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xiDev\Desktop\Nueva carpeta\"/>
    </mc:Choice>
  </mc:AlternateContent>
  <xr:revisionPtr revIDLastSave="0" documentId="13_ncr:1_{AEE0E899-10E9-4480-A943-8A11DEE6C89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Dashboard" sheetId="1" r:id="rId1"/>
    <sheet name="Clientes" sheetId="2" r:id="rId2"/>
    <sheet name="Hoja1" sheetId="5" r:id="rId3"/>
    <sheet name="Créditos" sheetId="3" r:id="rId4"/>
    <sheet name="Pagos" sheetId="4" r:id="rId5"/>
  </sheets>
  <calcPr calcId="191029"/>
  <pivotCaches>
    <pivotCache cacheId="1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1" l="1"/>
  <c r="C8" i="1" s="1"/>
  <c r="C6" i="1"/>
  <c r="C5" i="1"/>
</calcChain>
</file>

<file path=xl/sharedStrings.xml><?xml version="1.0" encoding="utf-8"?>
<sst xmlns="http://schemas.openxmlformats.org/spreadsheetml/2006/main" count="72" uniqueCount="57">
  <si>
    <t>PANEL DE CONTROL - RIESGO CREDITICIO Y MOROSIDAD</t>
  </si>
  <si>
    <t>Métrica Clave</t>
  </si>
  <si>
    <t>Valor</t>
  </si>
  <si>
    <t>Exposición Total Cartera</t>
  </si>
  <si>
    <t>Créditos Totales</t>
  </si>
  <si>
    <t>Créditos en Riesgo (Mora/Castigado)</t>
  </si>
  <si>
    <t>Tasa de Morosidad Cartera</t>
  </si>
  <si>
    <t>Cliente ID</t>
  </si>
  <si>
    <t>Nombre</t>
  </si>
  <si>
    <t>Antigüedad (Meses)</t>
  </si>
  <si>
    <t>Segmento</t>
  </si>
  <si>
    <t>Ingresos Declarados</t>
  </si>
  <si>
    <t>Juan Pérez</t>
  </si>
  <si>
    <t>Minorista</t>
  </si>
  <si>
    <t>María Gómez</t>
  </si>
  <si>
    <t>PyME</t>
  </si>
  <si>
    <t>Carlos Ruiz</t>
  </si>
  <si>
    <t>Ana Torres</t>
  </si>
  <si>
    <t>Preferencial</t>
  </si>
  <si>
    <t>Luis Fernández</t>
  </si>
  <si>
    <t>Sofía Ramírez</t>
  </si>
  <si>
    <t>Crédito ID</t>
  </si>
  <si>
    <t>Monto Otorgado</t>
  </si>
  <si>
    <t>Tasa Interés</t>
  </si>
  <si>
    <t>Plazo (Meses)</t>
  </si>
  <si>
    <t>Estado Actual</t>
  </si>
  <si>
    <t>Al día</t>
  </si>
  <si>
    <t>En mora</t>
  </si>
  <si>
    <t>Castigado</t>
  </si>
  <si>
    <t>Pago ID</t>
  </si>
  <si>
    <t>Nro Cuota</t>
  </si>
  <si>
    <t>Fecha Vencimiento</t>
  </si>
  <si>
    <t>Fecha Pago</t>
  </si>
  <si>
    <t>Monto Cuota</t>
  </si>
  <si>
    <t>Días Atraso</t>
  </si>
  <si>
    <t>2026-01-10</t>
  </si>
  <si>
    <t>2026-01-08</t>
  </si>
  <si>
    <t>2026-02-10</t>
  </si>
  <si>
    <t>2026-02-11</t>
  </si>
  <si>
    <t>2025-11-15</t>
  </si>
  <si>
    <t>2025-11-20</t>
  </si>
  <si>
    <t>2025-12-15</t>
  </si>
  <si>
    <t>2025-12-28</t>
  </si>
  <si>
    <t>2026-02-01</t>
  </si>
  <si>
    <t>2026-01-30</t>
  </si>
  <si>
    <t>2025-12-20</t>
  </si>
  <si>
    <t>2025-12-19</t>
  </si>
  <si>
    <t>2025-10-10</t>
  </si>
  <si>
    <t>2025-11-05</t>
  </si>
  <si>
    <t>2025-05-10</t>
  </si>
  <si>
    <t>Etiquetas de columna</t>
  </si>
  <si>
    <t>Total general</t>
  </si>
  <si>
    <t>Etiquetas de fila</t>
  </si>
  <si>
    <t>Suma de Monto Otorgado</t>
  </si>
  <si>
    <t>Total Suma de Monto Otorgado</t>
  </si>
  <si>
    <t>Total Suma de Tasa Interés</t>
  </si>
  <si>
    <t>Suma de Tasa Interés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</si>
</sst>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164" fontId="3" fillId="0" borderId="0" xfId="0" applyNumberFormat="1" applyFont="1"/>
    <xf numFmtId="10" fontId="3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\$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\$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\$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xiDev" refreshedDate="46261.882826851848" createdVersion="7" refreshedVersion="7" minRefreshableVersion="3" recordCount="6" xr:uid="{CBF09763-8E40-49BB-9C2D-5D350E60B7FB}">
  <cacheSource type="worksheet">
    <worksheetSource name="Tabla3"/>
  </cacheSource>
  <cacheFields count="6">
    <cacheField name="Crédito ID" numFmtId="0">
      <sharedItems containsSemiMixedTypes="0" containsString="0" containsNumber="1" containsInteger="1" minValue="101" maxValue="106"/>
    </cacheField>
    <cacheField name="Cliente ID" numFmtId="0">
      <sharedItems containsSemiMixedTypes="0" containsString="0" containsNumber="1" containsInteger="1" minValue="1" maxValue="6"/>
    </cacheField>
    <cacheField name="Monto Otorgado" numFmtId="164">
      <sharedItems containsSemiMixedTypes="0" containsString="0" containsNumber="1" containsInteger="1" minValue="3000" maxValue="30000" count="6">
        <n v="5000"/>
        <n v="15000"/>
        <n v="3000"/>
        <n v="30000"/>
        <n v="4000"/>
        <n v="20000"/>
      </sharedItems>
    </cacheField>
    <cacheField name="Tasa Interés" numFmtId="10">
      <sharedItems containsSemiMixedTypes="0" containsString="0" containsNumber="1" minValue="0.15" maxValue="0.28000000000000003" count="6">
        <n v="0.24"/>
        <n v="0.18"/>
        <n v="0.28000000000000003"/>
        <n v="0.15"/>
        <n v="0.25"/>
        <n v="0.19"/>
      </sharedItems>
    </cacheField>
    <cacheField name="Plazo (Meses)" numFmtId="0">
      <sharedItems containsSemiMixedTypes="0" containsString="0" containsNumber="1" containsInteger="1" minValue="6" maxValue="36" count="4">
        <n v="12"/>
        <n v="24"/>
        <n v="6"/>
        <n v="36"/>
      </sharedItems>
    </cacheField>
    <cacheField name="Estado Actual" numFmtId="0">
      <sharedItems count="3">
        <s v="Al día"/>
        <s v="En mora"/>
        <s v="Castigad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101"/>
    <n v="1"/>
    <x v="0"/>
    <x v="0"/>
    <x v="0"/>
    <x v="0"/>
  </r>
  <r>
    <n v="102"/>
    <n v="2"/>
    <x v="1"/>
    <x v="1"/>
    <x v="1"/>
    <x v="1"/>
  </r>
  <r>
    <n v="103"/>
    <n v="3"/>
    <x v="2"/>
    <x v="2"/>
    <x v="2"/>
    <x v="0"/>
  </r>
  <r>
    <n v="104"/>
    <n v="4"/>
    <x v="3"/>
    <x v="3"/>
    <x v="3"/>
    <x v="0"/>
  </r>
  <r>
    <n v="105"/>
    <n v="5"/>
    <x v="4"/>
    <x v="4"/>
    <x v="0"/>
    <x v="1"/>
  </r>
  <r>
    <n v="106"/>
    <n v="6"/>
    <x v="5"/>
    <x v="5"/>
    <x v="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4AB04-50B7-4329-A734-4AB6E2159746}" name="TablaDinámica2" cacheId="1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I10" firstHeaderRow="1" firstDataRow="3" firstDataCol="1"/>
  <pivotFields count="6">
    <pivotField showAll="0"/>
    <pivotField showAll="0"/>
    <pivotField dataField="1" numFmtId="164" showAll="0">
      <items count="7">
        <item x="2"/>
        <item x="4"/>
        <item x="0"/>
        <item x="1"/>
        <item x="5"/>
        <item x="3"/>
        <item t="default"/>
      </items>
    </pivotField>
    <pivotField dataField="1" numFmtId="10" showAll="0">
      <items count="7">
        <item x="3"/>
        <item x="1"/>
        <item x="5"/>
        <item x="0"/>
        <item x="4"/>
        <item x="2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axis="axisCol" showAll="0">
      <items count="4">
        <item x="0"/>
        <item x="2"/>
        <item x="1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2">
    <field x="5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Monto Otorgado" fld="2" baseField="0" baseItem="0"/>
    <dataField name="Suma de Tasa Interé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2F7838-D136-4EEE-9DD3-D2ED324C174C}" name="Tabla1" displayName="Tabla1" ref="B4:C8" totalsRowShown="0" headerRowDxfId="24">
  <autoFilter ref="B4:C8" xr:uid="{AC2F7838-D136-4EEE-9DD3-D2ED324C174C}"/>
  <tableColumns count="2">
    <tableColumn id="1" xr3:uid="{810324D9-D532-4C77-868C-5DB6079C80BE}" name="Métrica Clave" dataDxfId="25"/>
    <tableColumn id="2" xr3:uid="{647C3DD7-AFC4-4E4C-B860-FA6417D8869F}" name="Valo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F6860EE-BB7D-4A06-B7E8-8B55F2B63067}" name="Tabla2" displayName="Tabla2" ref="A1:E7" totalsRowShown="0" headerRowDxfId="17" dataDxfId="18">
  <autoFilter ref="A1:E7" xr:uid="{FF6860EE-BB7D-4A06-B7E8-8B55F2B63067}"/>
  <tableColumns count="5">
    <tableColumn id="1" xr3:uid="{AF462386-1E7B-4B5E-B22F-93266158D6F9}" name="Cliente ID" dataDxfId="23"/>
    <tableColumn id="2" xr3:uid="{FE63AA75-2A04-44C7-8744-C6E37D9C3BC6}" name="Nombre" dataDxfId="22"/>
    <tableColumn id="3" xr3:uid="{E60C3B09-4274-4315-A200-71153D7A87E7}" name="Antigüedad (Meses)" dataDxfId="21"/>
    <tableColumn id="4" xr3:uid="{DC04D7E8-BF40-4B97-AB34-D4303B77C682}" name="Segmento" dataDxfId="20"/>
    <tableColumn id="5" xr3:uid="{E91D6F79-80B1-49B8-87CD-5F2232CBAA9C}" name="Ingresos Declarados" dataDxfId="1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CA6703-4ECA-446C-8138-2C61331EA57E}" name="Tabla3" displayName="Tabla3" ref="A1:F7" totalsRowShown="0" headerRowDxfId="9" dataDxfId="10">
  <autoFilter ref="A1:F7" xr:uid="{ACCA6703-4ECA-446C-8138-2C61331EA57E}"/>
  <tableColumns count="6">
    <tableColumn id="1" xr3:uid="{5C18B32B-3615-4775-8075-FB1F01211D26}" name="Crédito ID" dataDxfId="16"/>
    <tableColumn id="2" xr3:uid="{6DFA39E3-D449-4115-A916-390035804600}" name="Cliente ID" dataDxfId="15"/>
    <tableColumn id="3" xr3:uid="{1CBCE0C4-BD8B-4CCF-89E1-63199FD9C92D}" name="Monto Otorgado" dataDxfId="14"/>
    <tableColumn id="4" xr3:uid="{2D254CD7-6DD7-4BFC-9316-04481E082E63}" name="Tasa Interés" dataDxfId="13"/>
    <tableColumn id="5" xr3:uid="{CB57BCAD-7AD7-4581-BB82-B7162EC805D5}" name="Plazo (Meses)" dataDxfId="12"/>
    <tableColumn id="6" xr3:uid="{931AC095-3F43-4A9C-B534-F44384DD2F5E}" name="Estado Actual" dataDxfId="1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13A276-5A3A-48D9-B5C3-6D54719D10C2}" name="Tabla4" displayName="Tabla4" ref="A1:G9" totalsRowShown="0" headerRowDxfId="0" dataDxfId="1">
  <autoFilter ref="A1:G9" xr:uid="{6F13A276-5A3A-48D9-B5C3-6D54719D10C2}"/>
  <tableColumns count="7">
    <tableColumn id="1" xr3:uid="{178413B6-FF85-4056-9E1C-AB569CBD9285}" name="Pago ID" dataDxfId="8"/>
    <tableColumn id="2" xr3:uid="{B2E285C2-CF15-45DF-B7A2-32DAB762F41C}" name="Crédito ID" dataDxfId="7"/>
    <tableColumn id="3" xr3:uid="{0AF84095-DF81-4515-8444-B0FB8E44128F}" name="Nro Cuota" dataDxfId="6"/>
    <tableColumn id="4" xr3:uid="{F0E7FDC5-0E98-4B9A-BDBB-0CA209337CD3}" name="Fecha Vencimiento" dataDxfId="5"/>
    <tableColumn id="5" xr3:uid="{46FEEA2C-4C6F-44FB-9D1C-C2BA44155139}" name="Fecha Pago" dataDxfId="4"/>
    <tableColumn id="6" xr3:uid="{C7EC466C-5BAD-4827-81B4-423E944D5B82}" name="Monto Cuota" dataDxfId="3"/>
    <tableColumn id="7" xr3:uid="{99FE1997-0B1F-4541-9916-945030528355}" name="Días Atraso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8"/>
  <sheetViews>
    <sheetView showGridLines="0" workbookViewId="0">
      <selection activeCell="B4" sqref="B4:C8"/>
    </sheetView>
  </sheetViews>
  <sheetFormatPr baseColWidth="10" defaultColWidth="9.140625" defaultRowHeight="15" x14ac:dyDescent="0.25"/>
  <cols>
    <col min="2" max="2" width="80.85546875" bestFit="1" customWidth="1"/>
    <col min="3" max="3" width="10.140625" bestFit="1" customWidth="1"/>
  </cols>
  <sheetData>
    <row r="2" spans="2:3" ht="18" x14ac:dyDescent="0.25">
      <c r="B2" s="1" t="s">
        <v>0</v>
      </c>
    </row>
    <row r="4" spans="2:3" x14ac:dyDescent="0.25">
      <c r="B4" s="2" t="s">
        <v>1</v>
      </c>
      <c r="C4" s="2" t="s">
        <v>2</v>
      </c>
    </row>
    <row r="5" spans="2:3" x14ac:dyDescent="0.25">
      <c r="B5" s="3" t="s">
        <v>3</v>
      </c>
      <c r="C5" s="4">
        <f>SUM(Créditos!C2:C7)</f>
        <v>77000</v>
      </c>
    </row>
    <row r="6" spans="2:3" x14ac:dyDescent="0.25">
      <c r="B6" s="3" t="s">
        <v>4</v>
      </c>
      <c r="C6" s="3">
        <f>COUNTA(Créditos!A2:A7)</f>
        <v>6</v>
      </c>
    </row>
    <row r="7" spans="2:3" x14ac:dyDescent="0.25">
      <c r="B7" s="3" t="s">
        <v>5</v>
      </c>
      <c r="C7" s="3">
        <f>COUNTIF(Créditos!F2:F7, "En mora") + COUNTIF(Créditos!F2:F7, "Castigado")</f>
        <v>3</v>
      </c>
    </row>
    <row r="8" spans="2:3" x14ac:dyDescent="0.25">
      <c r="B8" s="3" t="s">
        <v>6</v>
      </c>
      <c r="C8" s="5">
        <f>C7/C6</f>
        <v>0.5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workbookViewId="0">
      <selection sqref="A1:E7"/>
    </sheetView>
  </sheetViews>
  <sheetFormatPr baseColWidth="10" defaultColWidth="9.140625" defaultRowHeight="15" x14ac:dyDescent="0.25"/>
  <cols>
    <col min="1" max="1" width="13.140625" customWidth="1"/>
    <col min="2" max="2" width="13.7109375" bestFit="1" customWidth="1"/>
    <col min="3" max="3" width="23.28515625" customWidth="1"/>
    <col min="4" max="4" width="13.42578125" customWidth="1"/>
    <col min="5" max="5" width="24" customWidth="1"/>
  </cols>
  <sheetData>
    <row r="1" spans="1:5" x14ac:dyDescent="0.25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</row>
    <row r="2" spans="1:5" x14ac:dyDescent="0.25">
      <c r="A2" s="3">
        <v>1</v>
      </c>
      <c r="B2" s="3" t="s">
        <v>12</v>
      </c>
      <c r="C2" s="3">
        <v>24</v>
      </c>
      <c r="D2" s="3" t="s">
        <v>13</v>
      </c>
      <c r="E2" s="4">
        <v>1200.5</v>
      </c>
    </row>
    <row r="3" spans="1:5" x14ac:dyDescent="0.25">
      <c r="A3" s="3">
        <v>2</v>
      </c>
      <c r="B3" s="3" t="s">
        <v>14</v>
      </c>
      <c r="C3" s="3">
        <v>36</v>
      </c>
      <c r="D3" s="3" t="s">
        <v>15</v>
      </c>
      <c r="E3" s="4">
        <v>3500</v>
      </c>
    </row>
    <row r="4" spans="1:5" x14ac:dyDescent="0.25">
      <c r="A4" s="3">
        <v>3</v>
      </c>
      <c r="B4" s="3" t="s">
        <v>16</v>
      </c>
      <c r="C4" s="3">
        <v>12</v>
      </c>
      <c r="D4" s="3" t="s">
        <v>13</v>
      </c>
      <c r="E4" s="4">
        <v>950</v>
      </c>
    </row>
    <row r="5" spans="1:5" x14ac:dyDescent="0.25">
      <c r="A5" s="3">
        <v>4</v>
      </c>
      <c r="B5" s="3" t="s">
        <v>17</v>
      </c>
      <c r="C5" s="3">
        <v>48</v>
      </c>
      <c r="D5" s="3" t="s">
        <v>18</v>
      </c>
      <c r="E5" s="4">
        <v>6200</v>
      </c>
    </row>
    <row r="6" spans="1:5" x14ac:dyDescent="0.25">
      <c r="A6" s="3">
        <v>5</v>
      </c>
      <c r="B6" s="3" t="s">
        <v>19</v>
      </c>
      <c r="C6" s="3">
        <v>6</v>
      </c>
      <c r="D6" s="3" t="s">
        <v>13</v>
      </c>
      <c r="E6" s="4">
        <v>1100</v>
      </c>
    </row>
    <row r="7" spans="1:5" x14ac:dyDescent="0.25">
      <c r="A7" s="3">
        <v>6</v>
      </c>
      <c r="B7" s="3" t="s">
        <v>20</v>
      </c>
      <c r="C7" s="3">
        <v>60</v>
      </c>
      <c r="D7" s="3" t="s">
        <v>15</v>
      </c>
      <c r="E7" s="4">
        <v>4800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F090-AA2D-43DA-8363-4D4B774806E5}">
  <dimension ref="A3:I10"/>
  <sheetViews>
    <sheetView tabSelected="1" workbookViewId="0">
      <selection activeCell="D19" sqref="D19"/>
    </sheetView>
  </sheetViews>
  <sheetFormatPr baseColWidth="10" defaultRowHeight="15" x14ac:dyDescent="0.25"/>
  <cols>
    <col min="1" max="1" width="17.5703125" bestFit="1" customWidth="1"/>
    <col min="2" max="2" width="24" bestFit="1" customWidth="1"/>
    <col min="3" max="3" width="19.7109375" bestFit="1" customWidth="1"/>
    <col min="4" max="4" width="24" bestFit="1" customWidth="1"/>
    <col min="5" max="5" width="19.7109375" bestFit="1" customWidth="1"/>
    <col min="6" max="6" width="24" bestFit="1" customWidth="1"/>
    <col min="7" max="7" width="19.7109375" bestFit="1" customWidth="1"/>
    <col min="8" max="8" width="29" bestFit="1" customWidth="1"/>
    <col min="9" max="9" width="24.7109375" bestFit="1" customWidth="1"/>
    <col min="10" max="10" width="8.140625" bestFit="1" customWidth="1"/>
    <col min="11" max="11" width="12" bestFit="1" customWidth="1"/>
    <col min="12" max="12" width="7.140625" bestFit="1" customWidth="1"/>
    <col min="13" max="13" width="12" bestFit="1" customWidth="1"/>
    <col min="14" max="14" width="12.5703125" bestFit="1" customWidth="1"/>
  </cols>
  <sheetData>
    <row r="3" spans="1:9" x14ac:dyDescent="0.25">
      <c r="B3" s="6" t="s">
        <v>50</v>
      </c>
    </row>
    <row r="4" spans="1:9" x14ac:dyDescent="0.25">
      <c r="B4" t="s">
        <v>26</v>
      </c>
      <c r="D4" t="s">
        <v>28</v>
      </c>
      <c r="F4" t="s">
        <v>27</v>
      </c>
      <c r="H4" t="s">
        <v>54</v>
      </c>
      <c r="I4" t="s">
        <v>55</v>
      </c>
    </row>
    <row r="5" spans="1:9" x14ac:dyDescent="0.25">
      <c r="A5" s="6" t="s">
        <v>52</v>
      </c>
      <c r="B5" t="s">
        <v>53</v>
      </c>
      <c r="C5" t="s">
        <v>56</v>
      </c>
      <c r="D5" t="s">
        <v>53</v>
      </c>
      <c r="E5" t="s">
        <v>56</v>
      </c>
      <c r="F5" t="s">
        <v>53</v>
      </c>
      <c r="G5" t="s">
        <v>56</v>
      </c>
    </row>
    <row r="6" spans="1:9" x14ac:dyDescent="0.25">
      <c r="A6" s="7">
        <v>6</v>
      </c>
      <c r="B6" s="8">
        <v>3000</v>
      </c>
      <c r="C6" s="8">
        <v>0.28000000000000003</v>
      </c>
      <c r="D6" s="8"/>
      <c r="E6" s="8"/>
      <c r="F6" s="8"/>
      <c r="G6" s="8"/>
      <c r="H6" s="8">
        <v>3000</v>
      </c>
      <c r="I6" s="8">
        <v>0.28000000000000003</v>
      </c>
    </row>
    <row r="7" spans="1:9" x14ac:dyDescent="0.25">
      <c r="A7" s="7">
        <v>12</v>
      </c>
      <c r="B7" s="8">
        <v>5000</v>
      </c>
      <c r="C7" s="8">
        <v>0.24</v>
      </c>
      <c r="D7" s="8"/>
      <c r="E7" s="8"/>
      <c r="F7" s="8">
        <v>4000</v>
      </c>
      <c r="G7" s="8">
        <v>0.25</v>
      </c>
      <c r="H7" s="8">
        <v>9000</v>
      </c>
      <c r="I7" s="8">
        <v>0.49</v>
      </c>
    </row>
    <row r="8" spans="1:9" x14ac:dyDescent="0.25">
      <c r="A8" s="7">
        <v>24</v>
      </c>
      <c r="B8" s="8"/>
      <c r="C8" s="8"/>
      <c r="D8" s="8">
        <v>20000</v>
      </c>
      <c r="E8" s="8">
        <v>0.19</v>
      </c>
      <c r="F8" s="8">
        <v>15000</v>
      </c>
      <c r="G8" s="8">
        <v>0.18</v>
      </c>
      <c r="H8" s="8">
        <v>35000</v>
      </c>
      <c r="I8" s="8">
        <v>0.37</v>
      </c>
    </row>
    <row r="9" spans="1:9" x14ac:dyDescent="0.25">
      <c r="A9" s="7">
        <v>36</v>
      </c>
      <c r="B9" s="8">
        <v>30000</v>
      </c>
      <c r="C9" s="8">
        <v>0.15</v>
      </c>
      <c r="D9" s="8"/>
      <c r="E9" s="8"/>
      <c r="F9" s="8"/>
      <c r="G9" s="8"/>
      <c r="H9" s="8">
        <v>30000</v>
      </c>
      <c r="I9" s="8">
        <v>0.15</v>
      </c>
    </row>
    <row r="10" spans="1:9" x14ac:dyDescent="0.25">
      <c r="A10" s="7" t="s">
        <v>51</v>
      </c>
      <c r="B10" s="8">
        <v>38000</v>
      </c>
      <c r="C10" s="8">
        <v>0.67</v>
      </c>
      <c r="D10" s="8">
        <v>20000</v>
      </c>
      <c r="E10" s="8">
        <v>0.19</v>
      </c>
      <c r="F10" s="8">
        <v>19000</v>
      </c>
      <c r="G10" s="8">
        <v>0.43</v>
      </c>
      <c r="H10" s="8">
        <v>77000</v>
      </c>
      <c r="I10" s="8">
        <v>1.29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showGridLines="0" workbookViewId="0">
      <selection activeCell="F1" sqref="A1:F7"/>
    </sheetView>
  </sheetViews>
  <sheetFormatPr baseColWidth="10" defaultColWidth="9.140625" defaultRowHeight="15" x14ac:dyDescent="0.25"/>
  <cols>
    <col min="1" max="1" width="13.42578125" customWidth="1"/>
    <col min="2" max="2" width="13.140625" customWidth="1"/>
    <col min="3" max="3" width="19.7109375" customWidth="1"/>
    <col min="4" max="4" width="15.7109375" customWidth="1"/>
    <col min="5" max="5" width="17.42578125" customWidth="1"/>
    <col min="6" max="6" width="16.85546875" customWidth="1"/>
  </cols>
  <sheetData>
    <row r="1" spans="1:6" x14ac:dyDescent="0.25">
      <c r="A1" s="2" t="s">
        <v>21</v>
      </c>
      <c r="B1" s="2" t="s">
        <v>7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 x14ac:dyDescent="0.25">
      <c r="A2" s="3">
        <v>101</v>
      </c>
      <c r="B2" s="3">
        <v>1</v>
      </c>
      <c r="C2" s="4">
        <v>5000</v>
      </c>
      <c r="D2" s="5">
        <v>0.24</v>
      </c>
      <c r="E2" s="3">
        <v>12</v>
      </c>
      <c r="F2" s="3" t="s">
        <v>26</v>
      </c>
    </row>
    <row r="3" spans="1:6" x14ac:dyDescent="0.25">
      <c r="A3" s="3">
        <v>102</v>
      </c>
      <c r="B3" s="3">
        <v>2</v>
      </c>
      <c r="C3" s="4">
        <v>15000</v>
      </c>
      <c r="D3" s="5">
        <v>0.18</v>
      </c>
      <c r="E3" s="3">
        <v>24</v>
      </c>
      <c r="F3" s="3" t="s">
        <v>27</v>
      </c>
    </row>
    <row r="4" spans="1:6" x14ac:dyDescent="0.25">
      <c r="A4" s="3">
        <v>103</v>
      </c>
      <c r="B4" s="3">
        <v>3</v>
      </c>
      <c r="C4" s="4">
        <v>3000</v>
      </c>
      <c r="D4" s="5">
        <v>0.28000000000000003</v>
      </c>
      <c r="E4" s="3">
        <v>6</v>
      </c>
      <c r="F4" s="3" t="s">
        <v>26</v>
      </c>
    </row>
    <row r="5" spans="1:6" x14ac:dyDescent="0.25">
      <c r="A5" s="3">
        <v>104</v>
      </c>
      <c r="B5" s="3">
        <v>4</v>
      </c>
      <c r="C5" s="4">
        <v>30000</v>
      </c>
      <c r="D5" s="5">
        <v>0.15</v>
      </c>
      <c r="E5" s="3">
        <v>36</v>
      </c>
      <c r="F5" s="3" t="s">
        <v>26</v>
      </c>
    </row>
    <row r="6" spans="1:6" x14ac:dyDescent="0.25">
      <c r="A6" s="3">
        <v>105</v>
      </c>
      <c r="B6" s="3">
        <v>5</v>
      </c>
      <c r="C6" s="4">
        <v>4000</v>
      </c>
      <c r="D6" s="5">
        <v>0.25</v>
      </c>
      <c r="E6" s="3">
        <v>12</v>
      </c>
      <c r="F6" s="3" t="s">
        <v>27</v>
      </c>
    </row>
    <row r="7" spans="1:6" x14ac:dyDescent="0.25">
      <c r="A7" s="3">
        <v>106</v>
      </c>
      <c r="B7" s="3">
        <v>6</v>
      </c>
      <c r="C7" s="4">
        <v>20000</v>
      </c>
      <c r="D7" s="5">
        <v>0.19</v>
      </c>
      <c r="E7" s="3">
        <v>24</v>
      </c>
      <c r="F7" s="3" t="s">
        <v>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showGridLines="0" workbookViewId="0">
      <selection activeCell="H7" sqref="H7"/>
    </sheetView>
  </sheetViews>
  <sheetFormatPr baseColWidth="10" defaultColWidth="9.140625" defaultRowHeight="15" x14ac:dyDescent="0.25"/>
  <cols>
    <col min="1" max="1" width="11" customWidth="1"/>
    <col min="2" max="3" width="13.42578125" customWidth="1"/>
    <col min="4" max="4" width="22.28515625" customWidth="1"/>
    <col min="5" max="5" width="15" customWidth="1"/>
    <col min="6" max="6" width="16.140625" customWidth="1"/>
    <col min="7" max="7" width="14.5703125" customWidth="1"/>
    <col min="9" max="9" width="17.5703125" bestFit="1" customWidth="1"/>
    <col min="10" max="10" width="22.42578125" bestFit="1" customWidth="1"/>
    <col min="11" max="12" width="2" bestFit="1" customWidth="1"/>
    <col min="13" max="14" width="3" bestFit="1" customWidth="1"/>
    <col min="15" max="15" width="4" bestFit="1" customWidth="1"/>
    <col min="16" max="16" width="12.5703125" bestFit="1" customWidth="1"/>
    <col min="17" max="17" width="10.42578125" bestFit="1" customWidth="1"/>
    <col min="18" max="18" width="12.5703125" bestFit="1" customWidth="1"/>
  </cols>
  <sheetData>
    <row r="1" spans="1:7" x14ac:dyDescent="0.25">
      <c r="A1" s="2" t="s">
        <v>29</v>
      </c>
      <c r="B1" s="2" t="s">
        <v>21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</row>
    <row r="2" spans="1:7" x14ac:dyDescent="0.25">
      <c r="A2" s="3">
        <v>1001</v>
      </c>
      <c r="B2" s="3">
        <v>101</v>
      </c>
      <c r="C2" s="3">
        <v>1</v>
      </c>
      <c r="D2" s="3" t="s">
        <v>35</v>
      </c>
      <c r="E2" s="3" t="s">
        <v>36</v>
      </c>
      <c r="F2" s="4">
        <v>450</v>
      </c>
      <c r="G2" s="3">
        <v>0</v>
      </c>
    </row>
    <row r="3" spans="1:7" x14ac:dyDescent="0.25">
      <c r="A3" s="3">
        <v>1002</v>
      </c>
      <c r="B3" s="3">
        <v>101</v>
      </c>
      <c r="C3" s="3">
        <v>2</v>
      </c>
      <c r="D3" s="3" t="s">
        <v>37</v>
      </c>
      <c r="E3" s="3" t="s">
        <v>38</v>
      </c>
      <c r="F3" s="4">
        <v>450</v>
      </c>
      <c r="G3" s="3">
        <v>1</v>
      </c>
    </row>
    <row r="4" spans="1:7" x14ac:dyDescent="0.25">
      <c r="A4" s="3">
        <v>1003</v>
      </c>
      <c r="B4" s="3">
        <v>102</v>
      </c>
      <c r="C4" s="3">
        <v>1</v>
      </c>
      <c r="D4" s="3" t="s">
        <v>39</v>
      </c>
      <c r="E4" s="3" t="s">
        <v>40</v>
      </c>
      <c r="F4" s="4">
        <v>750</v>
      </c>
      <c r="G4" s="3">
        <v>5</v>
      </c>
    </row>
    <row r="5" spans="1:7" x14ac:dyDescent="0.25">
      <c r="A5" s="3">
        <v>1004</v>
      </c>
      <c r="B5" s="3">
        <v>102</v>
      </c>
      <c r="C5" s="3">
        <v>2</v>
      </c>
      <c r="D5" s="3" t="s">
        <v>41</v>
      </c>
      <c r="E5" s="3" t="s">
        <v>42</v>
      </c>
      <c r="F5" s="4">
        <v>750</v>
      </c>
      <c r="G5" s="3">
        <v>13</v>
      </c>
    </row>
    <row r="6" spans="1:7" x14ac:dyDescent="0.25">
      <c r="A6" s="3">
        <v>1005</v>
      </c>
      <c r="B6" s="3">
        <v>103</v>
      </c>
      <c r="C6" s="3">
        <v>1</v>
      </c>
      <c r="D6" s="3" t="s">
        <v>43</v>
      </c>
      <c r="E6" s="3" t="s">
        <v>44</v>
      </c>
      <c r="F6" s="4">
        <v>520</v>
      </c>
      <c r="G6" s="3">
        <v>0</v>
      </c>
    </row>
    <row r="7" spans="1:7" x14ac:dyDescent="0.25">
      <c r="A7" s="3">
        <v>1006</v>
      </c>
      <c r="B7" s="3">
        <v>104</v>
      </c>
      <c r="C7" s="3">
        <v>1</v>
      </c>
      <c r="D7" s="3" t="s">
        <v>45</v>
      </c>
      <c r="E7" s="3" t="s">
        <v>46</v>
      </c>
      <c r="F7" s="4">
        <v>1000</v>
      </c>
      <c r="G7" s="3">
        <v>0</v>
      </c>
    </row>
    <row r="8" spans="1:7" x14ac:dyDescent="0.25">
      <c r="A8" s="3">
        <v>1007</v>
      </c>
      <c r="B8" s="3">
        <v>105</v>
      </c>
      <c r="C8" s="3">
        <v>1</v>
      </c>
      <c r="D8" s="3" t="s">
        <v>47</v>
      </c>
      <c r="E8" s="3" t="s">
        <v>48</v>
      </c>
      <c r="F8" s="4">
        <v>380</v>
      </c>
      <c r="G8" s="3">
        <v>26</v>
      </c>
    </row>
    <row r="9" spans="1:7" x14ac:dyDescent="0.25">
      <c r="A9" s="3">
        <v>1008</v>
      </c>
      <c r="B9" s="3">
        <v>106</v>
      </c>
      <c r="C9" s="3">
        <v>1</v>
      </c>
      <c r="D9" s="3" t="s">
        <v>49</v>
      </c>
      <c r="E9" s="3"/>
      <c r="F9" s="4">
        <v>950</v>
      </c>
      <c r="G9" s="3">
        <v>120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CD59EB-63F5-496A-BD25-C7B928ED7BC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Dashboard</vt:lpstr>
      <vt:lpstr>Clientes</vt:lpstr>
      <vt:lpstr>Hoja1</vt:lpstr>
      <vt:lpstr>Créditos</vt:lpstr>
      <vt:lpstr>Pagos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MaxiDev</dc:creator>
  <cp:lastModifiedBy>maximiliano daniel</cp:lastModifiedBy>
  <dcterms:created xsi:type="dcterms:W3CDTF">2026-08-27T22:40:53Z</dcterms:created>
  <dcterms:modified xsi:type="dcterms:W3CDTF">2026-08-28T00:12:33Z</dcterms:modified>
</cp:coreProperties>
</file>